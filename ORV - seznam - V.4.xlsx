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pa\DELTA - 1.A\Štěpa\Projekt ORV\"/>
    </mc:Choice>
  </mc:AlternateContent>
  <xr:revisionPtr revIDLastSave="0" documentId="13_ncr:1_{53E3AB09-4977-4D0F-8C9F-65EA5E075D9C}" xr6:coauthVersionLast="47" xr6:coauthVersionMax="47" xr10:uidLastSave="{00000000-0000-0000-0000-000000000000}"/>
  <bookViews>
    <workbookView xWindow="0" yWindow="366" windowWidth="28556" windowHeight="15430" xr2:uid="{A8B84EC0-30C2-4E16-ACB3-D7511C34C317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1" l="1"/>
  <c r="F21" i="1"/>
  <c r="F25" i="1"/>
  <c r="F15" i="1"/>
  <c r="F16" i="1"/>
  <c r="F19" i="1"/>
  <c r="F17" i="1"/>
  <c r="F14" i="1"/>
  <c r="F13" i="1"/>
  <c r="F18" i="1"/>
  <c r="F4" i="1"/>
  <c r="F9" i="1"/>
  <c r="F20" i="1"/>
  <c r="F11" i="1"/>
  <c r="F8" i="1"/>
  <c r="F7" i="1"/>
  <c r="F6" i="1"/>
  <c r="F5" i="1"/>
  <c r="F22" i="1"/>
  <c r="F23" i="1"/>
  <c r="F24" i="1"/>
  <c r="F12" i="1"/>
  <c r="F10" i="1"/>
  <c r="F29" i="1" l="1"/>
</calcChain>
</file>

<file path=xl/sharedStrings.xml><?xml version="1.0" encoding="utf-8"?>
<sst xmlns="http://schemas.openxmlformats.org/spreadsheetml/2006/main" count="106" uniqueCount="100">
  <si>
    <t>MATERIAL</t>
  </si>
  <si>
    <t>POČET</t>
  </si>
  <si>
    <t>CENA ZA 1</t>
  </si>
  <si>
    <t>CELKOVÁ CENA</t>
  </si>
  <si>
    <t>STĚNY</t>
  </si>
  <si>
    <t>ROZMĚRY</t>
  </si>
  <si>
    <t>80×80 </t>
  </si>
  <si>
    <t>STŘECHA</t>
  </si>
  <si>
    <t>Trám N.</t>
  </si>
  <si>
    <t>OSB desky</t>
  </si>
  <si>
    <t>ODKAZ</t>
  </si>
  <si>
    <t>https://kotarbau.cz/product-cze-1316-patka-sloupku-stavitelna-80x80x500.html</t>
  </si>
  <si>
    <t>PODLAHA</t>
  </si>
  <si>
    <t>Asfaltový pás</t>
  </si>
  <si>
    <t>Závětrné lišty</t>
  </si>
  <si>
    <t>Okapnice</t>
  </si>
  <si>
    <t>https://www.plechujeme.cz/okapnice-rs-250-p2403/?cid=1&amp;vid=12</t>
  </si>
  <si>
    <t>https://www.plechujeme.cz/zavetrna-lista-na-pultovou-strechu-rs-250-p2406/?vid=195</t>
  </si>
  <si>
    <t>https://www.hornbach.cz/p/beton-precit-b20-mpa-baleni-25-kg/10000529</t>
  </si>
  <si>
    <t xml:space="preserve">ORV </t>
  </si>
  <si>
    <t>https://e-rezivo.cz/dreveny-hranol-100-x-140-mm-delka-6-m/</t>
  </si>
  <si>
    <t>3000*100×140</t>
  </si>
  <si>
    <t>6000*100×140</t>
  </si>
  <si>
    <t>https://www.filko-pila.cz/produkt/hranol/</t>
  </si>
  <si>
    <t>Palubky (6m)</t>
  </si>
  <si>
    <t>Palubky (3m)</t>
  </si>
  <si>
    <t>4000*60*140</t>
  </si>
  <si>
    <t>https://www.palubky-eshop.cz/kvh-nsi-smrk-60x140mm</t>
  </si>
  <si>
    <t>22*1250*2500</t>
  </si>
  <si>
    <t>1000*5000*52</t>
  </si>
  <si>
    <t>14 m</t>
  </si>
  <si>
    <t>6 m</t>
  </si>
  <si>
    <t>https://www.pro-doma.cz/pas-asfaltovy-charbit-elast-pv-s52-hq-final-seda-natur-5-m2-role-tloustka-5-2-mm</t>
  </si>
  <si>
    <t>Kovové patky stavitelné</t>
  </si>
  <si>
    <t>3000*100*50</t>
  </si>
  <si>
    <t>Sloupy 3m</t>
  </si>
  <si>
    <t>https://www.palubky-eshop.cz/konstrukcni-lat-sm-50x100mm</t>
  </si>
  <si>
    <t>https://eshop.drevocentrum-as.cz/z111737-smrkove-prkno-stavebni-24-x-100-mm-4-m</t>
  </si>
  <si>
    <t>https://www.woodie.cz/kvh-hranol-40-140-mm-nsi?utm_source=google&amp;utm_medium=cpc&amp;utm_campaign=_MAX_hranoly_2025&amp;utm_id=22123360707&amp;gad_source=1&amp;gad_campaignid=22123361274&amp;gclid=Cj0KCQiA7-rMBhCFARIsAKnLKtDSLDg2KcFSp95S4zpgpp2vJG1pY18AMDmr7xUlG9L_mLuj_1w8_G0aAv1zEALw_wcB</t>
  </si>
  <si>
    <t>https://www.hornbach.cz/p/prkno-hoblovane-24-x-95-x-2000-mm-smrk/5241566/</t>
  </si>
  <si>
    <t>Sloupy 2,5m svislé</t>
  </si>
  <si>
    <t>1,8m</t>
  </si>
  <si>
    <t>NÁZEV</t>
  </si>
  <si>
    <t>CEL. DÉLKA</t>
  </si>
  <si>
    <t>Trámky nad okna (MALÁ)</t>
  </si>
  <si>
    <t>1,3m</t>
  </si>
  <si>
    <t xml:space="preserve"> 0,45m</t>
  </si>
  <si>
    <t>Trámky na okna (VELKÁ)</t>
  </si>
  <si>
    <t>7,75m</t>
  </si>
  <si>
    <t>Trámky pod okna</t>
  </si>
  <si>
    <t>Trámky mezi sloupky</t>
  </si>
  <si>
    <t>Trámky nad dveře</t>
  </si>
  <si>
    <t>11,6m</t>
  </si>
  <si>
    <t>Trámky pod krokve</t>
  </si>
  <si>
    <t>3m</t>
  </si>
  <si>
    <t>14,3m</t>
  </si>
  <si>
    <t>https://www.dek.cz/produkty/detail/3012010419-au-mex-terasa-modrin-slezsky-28x140x3000mm-hl-hl-4ks-bal</t>
  </si>
  <si>
    <t>Prkno - modřín</t>
  </si>
  <si>
    <t>3000*140*28</t>
  </si>
  <si>
    <t xml:space="preserve">Beton </t>
  </si>
  <si>
    <t>2000*95*24</t>
  </si>
  <si>
    <t>3000*19*146</t>
  </si>
  <si>
    <t>https://www.palubky-eshop.cz/obkladova-palubka-sm-19x146-mm-f-ab</t>
  </si>
  <si>
    <t>Polykarbonát</t>
  </si>
  <si>
    <t>845*645*4</t>
  </si>
  <si>
    <t>https://plasticexpress.cz/configurator/46-bezbarv-pln-polykarbon-t/62-5-mm</t>
  </si>
  <si>
    <t>Okna - prkýnka</t>
  </si>
  <si>
    <t>https://www.pro-doma.cz/hranolek-20-20-2000-mm</t>
  </si>
  <si>
    <t>20*20*2000</t>
  </si>
  <si>
    <t>Čelní vaznice</t>
  </si>
  <si>
    <t>6500*140*40</t>
  </si>
  <si>
    <t>5500*140*60</t>
  </si>
  <si>
    <t>Prkno (forma pro beton)</t>
  </si>
  <si>
    <t>Trámy obvodové - 6m</t>
  </si>
  <si>
    <t>Trámy obvodové - 3m</t>
  </si>
  <si>
    <t>Palubky - dveře (2m x 2 části)</t>
  </si>
  <si>
    <t>4000*19*146</t>
  </si>
  <si>
    <t>Prkna - dveře</t>
  </si>
  <si>
    <t>4000*40*121</t>
  </si>
  <si>
    <t>https://www.palubky-eshop.cz/hoblovane-prkno-sm-40x121mm-a-ab</t>
  </si>
  <si>
    <t>https://www.palubky-eshop.cz/obkladova-palubka-sm-19x146mm-profil-klasik-c-ab</t>
  </si>
  <si>
    <t>OTASTNÍ</t>
  </si>
  <si>
    <t>Biochemit QB</t>
  </si>
  <si>
    <t>5kg (350m²)</t>
  </si>
  <si>
    <t>LUXOL - Lazura</t>
  </si>
  <si>
    <t>10l</t>
  </si>
  <si>
    <t>2,5L</t>
  </si>
  <si>
    <t>https://www.obi.cz/lazury-na-drevo/luxol-original-tenkovrstva-lazura-bezbarva-2-5-l/p/3714540</t>
  </si>
  <si>
    <t>https://www.hornbach.cz/p/ochrana-dreva-bochemit-original-ciry-biocid-5-kg/10537407/</t>
  </si>
  <si>
    <t>https://www.obi.cz/lazury-na-drevo/luxol-original-tenkovrstva-lazura-bezbarva-10-l/p/3714557</t>
  </si>
  <si>
    <t>https://www.dek.cz/produkty/detail/3010488220-osb-krono-3-22x2500x625-n-4pd-32ks-p</t>
  </si>
  <si>
    <t>Vazníky (1,35m x 4 části)</t>
  </si>
  <si>
    <t>40*2*10000</t>
  </si>
  <si>
    <t>Závětrné pásy</t>
  </si>
  <si>
    <t>50*100 hranol</t>
  </si>
  <si>
    <t>Bonus - okapy.</t>
  </si>
  <si>
    <t>25kg</t>
  </si>
  <si>
    <t>https://www.hornbach.cz/p/asfaltovy-penetracni-lak-den-braven-denbit-br-alp-9-kg/8476040/</t>
  </si>
  <si>
    <t>9kg</t>
  </si>
  <si>
    <t>Asfaltový penetrační lak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</si>
</sst>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Kč&quot;;[Red]\-#,##0\ &quot;Kč&quot;"/>
    <numFmt numFmtId="164" formatCode="#,##0\ &quot;Kč&quot;"/>
  </numFmts>
  <fonts count="11" x14ac:knownFonts="1">
    <font>
      <sz val="11"/>
      <color theme="1"/>
      <name val="Aptos Narrow"/>
      <family val="2"/>
      <charset val="238"/>
      <scheme val="minor"/>
    </font>
    <font>
      <sz val="10"/>
      <color theme="1"/>
      <name val="Arial"/>
      <family val="2"/>
      <charset val="238"/>
    </font>
    <font>
      <u/>
      <sz val="11"/>
      <color theme="10"/>
      <name val="Aptos Narrow"/>
      <family val="2"/>
      <charset val="238"/>
      <scheme val="minor"/>
    </font>
    <font>
      <sz val="12"/>
      <color theme="1"/>
      <name val="Arial"/>
      <family val="2"/>
      <charset val="238"/>
    </font>
    <font>
      <sz val="14"/>
      <color theme="1"/>
      <name val="Aptos Narrow"/>
      <family val="2"/>
      <scheme val="minor"/>
    </font>
    <font>
      <sz val="11"/>
      <color theme="1"/>
      <name val="Arial"/>
      <family val="2"/>
      <charset val="238"/>
    </font>
    <font>
      <sz val="14"/>
      <color theme="1"/>
      <name val="Arial"/>
      <family val="2"/>
      <charset val="238"/>
    </font>
    <font>
      <sz val="8"/>
      <name val="Aptos Narrow"/>
      <family val="2"/>
      <charset val="238"/>
      <scheme val="minor"/>
    </font>
    <font>
      <b/>
      <sz val="18"/>
      <color theme="1"/>
      <name val="Aptos Narrow"/>
      <family val="2"/>
      <scheme val="minor"/>
    </font>
    <font>
      <b/>
      <u/>
      <sz val="3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6">
    <xf numFmtId="0" fontId="0" fillId="0" borderId="0" xfId="0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0" fillId="0" borderId="2" xfId="0" applyBorder="1"/>
    <xf numFmtId="164" fontId="0" fillId="0" borderId="0" xfId="0" applyNumberFormat="1"/>
    <xf numFmtId="0" fontId="2" fillId="0" borderId="7" xfId="1" applyBorder="1"/>
    <xf numFmtId="0" fontId="2" fillId="0" borderId="1" xfId="1" applyBorder="1"/>
    <xf numFmtId="0" fontId="2" fillId="0" borderId="1" xfId="1" applyFill="1" applyBorder="1"/>
    <xf numFmtId="0" fontId="2" fillId="0" borderId="0" xfId="1"/>
    <xf numFmtId="6" fontId="2" fillId="0" borderId="0" xfId="1" applyNumberFormat="1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5" fillId="0" borderId="6" xfId="0" applyFont="1" applyBorder="1"/>
    <xf numFmtId="0" fontId="5" fillId="0" borderId="6" xfId="0" applyFont="1" applyBorder="1" applyAlignment="1">
      <alignment horizontal="right"/>
    </xf>
    <xf numFmtId="164" fontId="5" fillId="0" borderId="6" xfId="0" applyNumberFormat="1" applyFont="1" applyBorder="1" applyAlignment="1">
      <alignment horizontal="right" vertical="top"/>
    </xf>
    <xf numFmtId="6" fontId="5" fillId="0" borderId="6" xfId="0" applyNumberFormat="1" applyFont="1" applyBorder="1" applyAlignment="1">
      <alignment horizontal="right"/>
    </xf>
    <xf numFmtId="0" fontId="5" fillId="0" borderId="1" xfId="0" applyFont="1" applyBorder="1"/>
    <xf numFmtId="164" fontId="5" fillId="0" borderId="1" xfId="0" applyNumberFormat="1" applyFont="1" applyBorder="1" applyAlignment="1">
      <alignment horizontal="right" vertical="top"/>
    </xf>
    <xf numFmtId="164" fontId="5" fillId="0" borderId="1" xfId="0" applyNumberFormat="1" applyFont="1" applyBorder="1" applyAlignment="1">
      <alignment horizontal="right"/>
    </xf>
    <xf numFmtId="164" fontId="5" fillId="0" borderId="1" xfId="0" applyNumberFormat="1" applyFont="1" applyBorder="1"/>
    <xf numFmtId="0" fontId="5" fillId="0" borderId="1" xfId="0" applyFont="1" applyBorder="1" applyAlignment="1">
      <alignment horizontal="right"/>
    </xf>
    <xf numFmtId="0" fontId="6" fillId="0" borderId="6" xfId="0" applyFont="1" applyBorder="1"/>
    <xf numFmtId="164" fontId="5" fillId="0" borderId="17" xfId="0" applyNumberFormat="1" applyFont="1" applyBorder="1"/>
    <xf numFmtId="164" fontId="5" fillId="0" borderId="12" xfId="0" applyNumberFormat="1" applyFont="1" applyBorder="1"/>
    <xf numFmtId="0" fontId="3" fillId="0" borderId="18" xfId="0" applyFont="1" applyBorder="1"/>
    <xf numFmtId="0" fontId="3" fillId="0" borderId="17" xfId="0" applyFont="1" applyBorder="1"/>
    <xf numFmtId="0" fontId="5" fillId="0" borderId="19" xfId="0" applyFont="1" applyBorder="1" applyAlignment="1">
      <alignment horizontal="right"/>
    </xf>
    <xf numFmtId="0" fontId="3" fillId="0" borderId="21" xfId="0" applyFont="1" applyBorder="1" applyAlignment="1">
      <alignment horizontal="right"/>
    </xf>
    <xf numFmtId="0" fontId="2" fillId="0" borderId="15" xfId="1" applyBorder="1"/>
    <xf numFmtId="0" fontId="6" fillId="0" borderId="18" xfId="0" applyFont="1" applyBorder="1"/>
    <xf numFmtId="0" fontId="3" fillId="0" borderId="19" xfId="0" applyFont="1" applyBorder="1" applyAlignment="1">
      <alignment horizontal="right"/>
    </xf>
    <xf numFmtId="0" fontId="2" fillId="0" borderId="20" xfId="1" applyFill="1" applyBorder="1"/>
    <xf numFmtId="0" fontId="5" fillId="0" borderId="22" xfId="0" applyFont="1" applyBorder="1"/>
    <xf numFmtId="164" fontId="4" fillId="0" borderId="23" xfId="0" applyNumberFormat="1" applyFont="1" applyBorder="1"/>
    <xf numFmtId="0" fontId="5" fillId="0" borderId="19" xfId="0" applyFont="1" applyBorder="1"/>
    <xf numFmtId="164" fontId="4" fillId="0" borderId="20" xfId="0" applyNumberFormat="1" applyFont="1" applyBorder="1"/>
    <xf numFmtId="0" fontId="5" fillId="0" borderId="21" xfId="0" applyFont="1" applyBorder="1"/>
    <xf numFmtId="164" fontId="4" fillId="0" borderId="15" xfId="0" applyNumberFormat="1" applyFont="1" applyBorder="1"/>
    <xf numFmtId="0" fontId="3" fillId="0" borderId="18" xfId="0" applyFont="1" applyBorder="1" applyAlignment="1">
      <alignment horizontal="right"/>
    </xf>
    <xf numFmtId="0" fontId="5" fillId="0" borderId="18" xfId="0" applyFont="1" applyBorder="1"/>
    <xf numFmtId="164" fontId="5" fillId="0" borderId="18" xfId="0" applyNumberFormat="1" applyFont="1" applyBorder="1"/>
    <xf numFmtId="0" fontId="2" fillId="0" borderId="18" xfId="1" applyBorder="1"/>
    <xf numFmtId="0" fontId="3" fillId="0" borderId="12" xfId="0" applyFont="1" applyBorder="1" applyAlignment="1">
      <alignment wrapText="1"/>
    </xf>
    <xf numFmtId="0" fontId="3" fillId="0" borderId="12" xfId="0" applyFont="1" applyBorder="1" applyAlignment="1">
      <alignment horizontal="right" wrapText="1"/>
    </xf>
    <xf numFmtId="0" fontId="1" fillId="0" borderId="12" xfId="0" applyFont="1" applyBorder="1" applyAlignment="1">
      <alignment horizontal="right" wrapText="1"/>
    </xf>
    <xf numFmtId="0" fontId="2" fillId="0" borderId="12" xfId="1" applyBorder="1"/>
    <xf numFmtId="0" fontId="3" fillId="0" borderId="12" xfId="0" applyFont="1" applyBorder="1" applyAlignment="1">
      <alignment horizontal="left" wrapText="1"/>
    </xf>
    <xf numFmtId="0" fontId="2" fillId="0" borderId="20" xfId="1" applyBorder="1"/>
    <xf numFmtId="164" fontId="8" fillId="0" borderId="24" xfId="0" applyNumberFormat="1" applyFont="1" applyBorder="1"/>
    <xf numFmtId="164" fontId="8" fillId="0" borderId="0" xfId="0" applyNumberFormat="1" applyFont="1"/>
    <xf numFmtId="0" fontId="10" fillId="0" borderId="3" xfId="0" applyFont="1" applyBorder="1"/>
    <xf numFmtId="164" fontId="10" fillId="0" borderId="3" xfId="0" applyNumberFormat="1" applyFont="1" applyBorder="1"/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textRotation="90"/>
    </xf>
    <xf numFmtId="0" fontId="4" fillId="0" borderId="4" xfId="0" applyFont="1" applyBorder="1" applyAlignment="1">
      <alignment horizontal="center" vertical="center" textRotation="90"/>
    </xf>
    <xf numFmtId="0" fontId="4" fillId="0" borderId="11" xfId="0" applyFont="1" applyBorder="1" applyAlignment="1">
      <alignment horizontal="center" vertical="center" textRotation="90"/>
    </xf>
    <xf numFmtId="0" fontId="4" fillId="0" borderId="14" xfId="0" applyFont="1" applyBorder="1" applyAlignment="1">
      <alignment horizontal="center" vertical="center" textRotation="90"/>
    </xf>
    <xf numFmtId="0" fontId="4" fillId="0" borderId="13" xfId="0" applyFont="1" applyBorder="1" applyAlignment="1">
      <alignment horizontal="center" vertical="center" textRotation="90"/>
    </xf>
    <xf numFmtId="0" fontId="4" fillId="0" borderId="15" xfId="0" applyFont="1" applyBorder="1" applyAlignment="1">
      <alignment horizontal="center" vertical="center" textRotation="90"/>
    </xf>
    <xf numFmtId="0" fontId="4" fillId="0" borderId="9" xfId="0" applyFont="1" applyBorder="1" applyAlignment="1">
      <alignment horizontal="center" vertical="center" textRotation="90"/>
    </xf>
    <xf numFmtId="0" fontId="4" fillId="0" borderId="0" xfId="0" applyFont="1" applyAlignment="1">
      <alignment horizontal="center" vertical="center" textRotation="90"/>
    </xf>
    <xf numFmtId="0" fontId="4" fillId="0" borderId="16" xfId="0" applyFont="1" applyBorder="1" applyAlignment="1">
      <alignment horizontal="center" vertical="center" textRotation="90"/>
    </xf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lechujeme.cz/zavetrna-lista-na-pultovou-strechu-rs-250-p2406/?vid=195" TargetMode="External"/><Relationship Id="rId13" Type="http://schemas.openxmlformats.org/officeDocument/2006/relationships/hyperlink" Target="https://www.hornbach.cz/p/prkno-hoblovane-24-x-95-x-2000-mm-smrk/5241566/" TargetMode="External"/><Relationship Id="rId18" Type="http://schemas.openxmlformats.org/officeDocument/2006/relationships/hyperlink" Target="https://plasticexpress.cz/configurator/46-bezbarv-pln-polykarbon-t/62-5-mm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https://e-rezivo.cz/dreveny-hranol-100-x-140-mm-delka-6-m/" TargetMode="External"/><Relationship Id="rId21" Type="http://schemas.openxmlformats.org/officeDocument/2006/relationships/hyperlink" Target="https://www.palubky-eshop.cz/obkladova-palubka-sm-19x146mm-profil-klasik-c-ab" TargetMode="External"/><Relationship Id="rId7" Type="http://schemas.openxmlformats.org/officeDocument/2006/relationships/hyperlink" Target="https://www.plechujeme.cz/okapnice-rs-250-p2403/?cid=1&amp;vid=12" TargetMode="External"/><Relationship Id="rId12" Type="http://schemas.openxmlformats.org/officeDocument/2006/relationships/hyperlink" Target="https://www.palubky-eshop.cz/konstrukcni-lat-sm-50x100mm" TargetMode="External"/><Relationship Id="rId17" Type="http://schemas.openxmlformats.org/officeDocument/2006/relationships/hyperlink" Target="https://www.pro-doma.cz/hranolek-20-20-2000-mm" TargetMode="External"/><Relationship Id="rId25" Type="http://schemas.openxmlformats.org/officeDocument/2006/relationships/hyperlink" Target="https://www.hornbach.cz/p/asfaltovy-penetracni-lak-den-braven-denbit-br-alp-9-kg/8476040/" TargetMode="External"/><Relationship Id="rId2" Type="http://schemas.openxmlformats.org/officeDocument/2006/relationships/hyperlink" Target="https://www.filko-pila.cz/produkt/hranol/" TargetMode="External"/><Relationship Id="rId16" Type="http://schemas.openxmlformats.org/officeDocument/2006/relationships/hyperlink" Target="https://eshop.drevocentrum-as.cz/z111737-smrkove-prkno-stavebni-24-x-100-mm-4-m" TargetMode="External"/><Relationship Id="rId20" Type="http://schemas.openxmlformats.org/officeDocument/2006/relationships/hyperlink" Target="https://www.palubky-eshop.cz/hoblovane-prkno-sm-40x121mm-a-ab" TargetMode="External"/><Relationship Id="rId1" Type="http://schemas.openxmlformats.org/officeDocument/2006/relationships/hyperlink" Target="https://kotarbau.cz/product-cze-1316-patka-sloupku-stavitelna-80x80x500.html" TargetMode="External"/><Relationship Id="rId6" Type="http://schemas.openxmlformats.org/officeDocument/2006/relationships/hyperlink" Target="https://www.pro-doma.cz/pas-asfaltovy-charbit-elast-pv-s52-hq-final-seda-natur-5-m2-role-tloustka-5-2-mm" TargetMode="External"/><Relationship Id="rId11" Type="http://schemas.openxmlformats.org/officeDocument/2006/relationships/hyperlink" Target="https://www.palubky-eshop.cz/konstrukcni-lat-sm-50x100mm" TargetMode="External"/><Relationship Id="rId24" Type="http://schemas.openxmlformats.org/officeDocument/2006/relationships/hyperlink" Target="https://www.obi.cz/lazury-na-drevo/luxol-original-tenkovrstva-lazura-bezbarva-10-l/p/3714557" TargetMode="External"/><Relationship Id="rId5" Type="http://schemas.openxmlformats.org/officeDocument/2006/relationships/hyperlink" Target="https://www.dek.cz/produkty/detail/3010488220-osb-krono-3-22x2500x625-n-4pd-32ks-p" TargetMode="External"/><Relationship Id="rId15" Type="http://schemas.openxmlformats.org/officeDocument/2006/relationships/hyperlink" Target="https://www.palubky-eshop.cz/obkladova-palubka-sm-19x146-mm-f-ab" TargetMode="External"/><Relationship Id="rId23" Type="http://schemas.openxmlformats.org/officeDocument/2006/relationships/hyperlink" Target="https://www.hornbach.cz/p/ochrana-dreva-bochemit-original-ciry-biocid-5-kg/10537407/" TargetMode="External"/><Relationship Id="rId10" Type="http://schemas.openxmlformats.org/officeDocument/2006/relationships/hyperlink" Target="https://www.palubky-eshop.cz/kvh-nsi-smrk-60x140mm" TargetMode="External"/><Relationship Id="rId19" Type="http://schemas.openxmlformats.org/officeDocument/2006/relationships/hyperlink" Target="https://www.woodie.cz/kvh-hranol-40-140-mm-nsi?utm_source=google&amp;utm_medium=cpc&amp;utm_campaign=_MAX_hranoly_2025&amp;utm_id=22123360707&amp;gad_source=1&amp;gad_campaignid=22123361274&amp;gclid=Cj0KCQiA7-rMBhCFARIsAKnLKtDSLDg2KcFSp95S4zpgpp2vJG1pY18AMDmr7xUlG9L_mLuj_1w8_G0aAv1zEALw_wcB" TargetMode="External"/><Relationship Id="rId4" Type="http://schemas.openxmlformats.org/officeDocument/2006/relationships/hyperlink" Target="https://www.palubky-eshop.cz/kvh-nsi-smrk-60x140mm" TargetMode="External"/><Relationship Id="rId9" Type="http://schemas.openxmlformats.org/officeDocument/2006/relationships/hyperlink" Target="https://www.hornbach.cz/p/beton-precit-b20-mpa-baleni-25-kg/10000529" TargetMode="External"/><Relationship Id="rId14" Type="http://schemas.openxmlformats.org/officeDocument/2006/relationships/hyperlink" Target="https://www.dek.cz/produkty/detail/3012010419-au-mex-terasa-modrin-slezsky-28x140x3000mm-hl-hl-4ks-bal" TargetMode="External"/><Relationship Id="rId22" Type="http://schemas.openxmlformats.org/officeDocument/2006/relationships/hyperlink" Target="https://www.obi.cz/lazury-na-drevo/luxol-original-tenkovrstva-lazura-bezbarva-2-5-l/p/37145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10CD1-BB54-4C3F-A96A-061BBE5FC23F}">
  <dimension ref="A1:G41"/>
  <sheetViews>
    <sheetView tabSelected="1" topLeftCell="B1" zoomScale="99" zoomScaleNormal="100" workbookViewId="0">
      <selection activeCell="E8" sqref="E8"/>
    </sheetView>
  </sheetViews>
  <sheetFormatPr defaultRowHeight="14.4" x14ac:dyDescent="0.3"/>
  <cols>
    <col min="1" max="1" width="5.296875" customWidth="1"/>
    <col min="2" max="2" width="30.09765625" bestFit="1" customWidth="1"/>
    <col min="3" max="4" width="17.296875" customWidth="1"/>
    <col min="5" max="5" width="17.59765625" style="6" customWidth="1"/>
    <col min="6" max="6" width="17.296875" style="6" customWidth="1"/>
    <col min="7" max="7" width="149.09765625" bestFit="1" customWidth="1"/>
  </cols>
  <sheetData>
    <row r="1" spans="1:7" ht="48.2" thickBot="1" x14ac:dyDescent="0.35">
      <c r="A1" s="54" t="s">
        <v>19</v>
      </c>
      <c r="B1" s="55"/>
      <c r="C1" s="55"/>
      <c r="D1" s="55"/>
      <c r="E1" s="55"/>
      <c r="F1" s="55"/>
      <c r="G1" s="56"/>
    </row>
    <row r="2" spans="1:7" ht="18.850000000000001" thickBot="1" x14ac:dyDescent="0.45">
      <c r="A2" s="5"/>
      <c r="B2" s="52" t="s">
        <v>0</v>
      </c>
      <c r="C2" s="52" t="s">
        <v>5</v>
      </c>
      <c r="D2" s="52" t="s">
        <v>1</v>
      </c>
      <c r="E2" s="53" t="s">
        <v>2</v>
      </c>
      <c r="F2" s="53" t="s">
        <v>3</v>
      </c>
      <c r="G2" s="53" t="s">
        <v>10</v>
      </c>
    </row>
    <row r="3" spans="1:7" ht="17.75" thickTop="1" x14ac:dyDescent="0.3">
      <c r="A3" s="57" t="s">
        <v>12</v>
      </c>
      <c r="B3" s="23" t="s">
        <v>59</v>
      </c>
      <c r="C3" s="14" t="s">
        <v>96</v>
      </c>
      <c r="D3" s="15">
        <v>34</v>
      </c>
      <c r="E3" s="16">
        <v>100</v>
      </c>
      <c r="F3" s="17">
        <v>3400</v>
      </c>
      <c r="G3" s="7" t="s">
        <v>18</v>
      </c>
    </row>
    <row r="4" spans="1:7" ht="15.55" x14ac:dyDescent="0.3">
      <c r="A4" s="58"/>
      <c r="B4" s="12" t="s">
        <v>72</v>
      </c>
      <c r="C4" s="13" t="s">
        <v>60</v>
      </c>
      <c r="D4" s="18">
        <v>10</v>
      </c>
      <c r="E4" s="19">
        <v>130</v>
      </c>
      <c r="F4" s="20">
        <f>D4*E4</f>
        <v>1300</v>
      </c>
      <c r="G4" s="8" t="s">
        <v>39</v>
      </c>
    </row>
    <row r="5" spans="1:7" ht="15.55" x14ac:dyDescent="0.3">
      <c r="A5" s="58"/>
      <c r="B5" s="1" t="s">
        <v>33</v>
      </c>
      <c r="C5" s="2" t="s">
        <v>6</v>
      </c>
      <c r="D5" s="3">
        <v>12</v>
      </c>
      <c r="E5" s="21">
        <v>150</v>
      </c>
      <c r="F5" s="21">
        <f xml:space="preserve"> D5*E5</f>
        <v>1800</v>
      </c>
      <c r="G5" s="8" t="s">
        <v>11</v>
      </c>
    </row>
    <row r="6" spans="1:7" ht="15.55" x14ac:dyDescent="0.3">
      <c r="A6" s="58"/>
      <c r="B6" s="1" t="s">
        <v>73</v>
      </c>
      <c r="C6" s="2" t="s">
        <v>22</v>
      </c>
      <c r="D6" s="4">
        <v>2</v>
      </c>
      <c r="E6" s="21">
        <v>900</v>
      </c>
      <c r="F6" s="21">
        <f t="shared" ref="F6:F11" si="0">E6*D6</f>
        <v>1800</v>
      </c>
      <c r="G6" s="8" t="s">
        <v>20</v>
      </c>
    </row>
    <row r="7" spans="1:7" ht="15.55" x14ac:dyDescent="0.3">
      <c r="A7" s="58"/>
      <c r="B7" s="1" t="s">
        <v>74</v>
      </c>
      <c r="C7" s="2" t="s">
        <v>21</v>
      </c>
      <c r="D7" s="4">
        <v>6</v>
      </c>
      <c r="E7" s="21">
        <v>500</v>
      </c>
      <c r="F7" s="21">
        <f t="shared" si="0"/>
        <v>3000</v>
      </c>
      <c r="G7" s="8" t="s">
        <v>23</v>
      </c>
    </row>
    <row r="8" spans="1:7" ht="15.55" x14ac:dyDescent="0.3">
      <c r="A8" s="58"/>
      <c r="B8" s="1" t="s">
        <v>91</v>
      </c>
      <c r="C8" s="2" t="s">
        <v>71</v>
      </c>
      <c r="D8" s="4">
        <v>6</v>
      </c>
      <c r="E8" s="21">
        <v>1100</v>
      </c>
      <c r="F8" s="21">
        <f t="shared" si="0"/>
        <v>6600</v>
      </c>
      <c r="G8" s="8" t="s">
        <v>27</v>
      </c>
    </row>
    <row r="9" spans="1:7" ht="16.100000000000001" thickBot="1" x14ac:dyDescent="0.35">
      <c r="A9" s="59"/>
      <c r="B9" s="44" t="s">
        <v>57</v>
      </c>
      <c r="C9" s="45" t="s">
        <v>58</v>
      </c>
      <c r="D9" s="46">
        <v>11</v>
      </c>
      <c r="E9" s="25">
        <v>1400</v>
      </c>
      <c r="F9" s="25">
        <f>D9*E9</f>
        <v>15400</v>
      </c>
      <c r="G9" s="47" t="s">
        <v>56</v>
      </c>
    </row>
    <row r="10" spans="1:7" ht="15.55" x14ac:dyDescent="0.3">
      <c r="A10" s="60" t="s">
        <v>4</v>
      </c>
      <c r="B10" s="26" t="s">
        <v>35</v>
      </c>
      <c r="C10" s="40" t="s">
        <v>34</v>
      </c>
      <c r="D10" s="41">
        <v>44</v>
      </c>
      <c r="E10" s="42">
        <v>220</v>
      </c>
      <c r="F10" s="42">
        <f t="shared" si="0"/>
        <v>9680</v>
      </c>
      <c r="G10" s="43" t="s">
        <v>36</v>
      </c>
    </row>
    <row r="11" spans="1:7" ht="15.55" x14ac:dyDescent="0.3">
      <c r="A11" s="61"/>
      <c r="B11" s="12" t="s">
        <v>40</v>
      </c>
      <c r="C11" s="13" t="s">
        <v>34</v>
      </c>
      <c r="D11" s="18">
        <v>22</v>
      </c>
      <c r="E11" s="21">
        <v>220</v>
      </c>
      <c r="F11" s="21">
        <f t="shared" si="0"/>
        <v>4840</v>
      </c>
      <c r="G11" s="8" t="s">
        <v>36</v>
      </c>
    </row>
    <row r="12" spans="1:7" ht="15.55" x14ac:dyDescent="0.3">
      <c r="A12" s="61"/>
      <c r="B12" s="12" t="s">
        <v>25</v>
      </c>
      <c r="C12" s="13" t="s">
        <v>61</v>
      </c>
      <c r="D12" s="18">
        <v>44</v>
      </c>
      <c r="E12" s="21">
        <v>180</v>
      </c>
      <c r="F12" s="21">
        <f>E12*D12</f>
        <v>7920</v>
      </c>
      <c r="G12" s="8" t="s">
        <v>62</v>
      </c>
    </row>
    <row r="13" spans="1:7" ht="15.55" x14ac:dyDescent="0.3">
      <c r="A13" s="61"/>
      <c r="B13" s="12" t="s">
        <v>24</v>
      </c>
      <c r="C13" s="13" t="s">
        <v>61</v>
      </c>
      <c r="D13" s="18">
        <v>82</v>
      </c>
      <c r="E13" s="21">
        <v>180</v>
      </c>
      <c r="F13" s="21">
        <f t="shared" ref="F13:F19" si="1">D13*E13</f>
        <v>14760</v>
      </c>
      <c r="G13" s="8" t="s">
        <v>62</v>
      </c>
    </row>
    <row r="14" spans="1:7" ht="15.55" x14ac:dyDescent="0.3">
      <c r="A14" s="61"/>
      <c r="B14" s="12" t="s">
        <v>66</v>
      </c>
      <c r="C14" s="13" t="s">
        <v>68</v>
      </c>
      <c r="D14" s="18">
        <v>10</v>
      </c>
      <c r="E14" s="21">
        <v>100</v>
      </c>
      <c r="F14" s="21">
        <f t="shared" si="1"/>
        <v>1000</v>
      </c>
      <c r="G14" s="8" t="s">
        <v>67</v>
      </c>
    </row>
    <row r="15" spans="1:7" ht="15.55" x14ac:dyDescent="0.3">
      <c r="A15" s="61"/>
      <c r="B15" s="12" t="s">
        <v>75</v>
      </c>
      <c r="C15" s="13" t="s">
        <v>76</v>
      </c>
      <c r="D15" s="18">
        <v>7</v>
      </c>
      <c r="E15" s="21">
        <v>240</v>
      </c>
      <c r="F15" s="21">
        <f t="shared" si="1"/>
        <v>1680</v>
      </c>
      <c r="G15" s="8" t="s">
        <v>80</v>
      </c>
    </row>
    <row r="16" spans="1:7" ht="15.55" x14ac:dyDescent="0.3">
      <c r="A16" s="61"/>
      <c r="B16" s="12" t="s">
        <v>77</v>
      </c>
      <c r="C16" s="13" t="s">
        <v>78</v>
      </c>
      <c r="D16" s="18">
        <v>3</v>
      </c>
      <c r="E16" s="21">
        <v>450</v>
      </c>
      <c r="F16" s="21">
        <f t="shared" si="1"/>
        <v>1350</v>
      </c>
      <c r="G16" s="8" t="s">
        <v>79</v>
      </c>
    </row>
    <row r="17" spans="1:7" ht="19.399999999999999" customHeight="1" thickBot="1" x14ac:dyDescent="0.35">
      <c r="A17" s="62"/>
      <c r="B17" s="48" t="s">
        <v>63</v>
      </c>
      <c r="C17" s="45" t="s">
        <v>64</v>
      </c>
      <c r="D17" s="46">
        <v>5</v>
      </c>
      <c r="E17" s="25">
        <v>900</v>
      </c>
      <c r="F17" s="25">
        <f t="shared" si="1"/>
        <v>4500</v>
      </c>
      <c r="G17" s="47" t="s">
        <v>65</v>
      </c>
    </row>
    <row r="18" spans="1:7" ht="19.399999999999999" customHeight="1" x14ac:dyDescent="0.3">
      <c r="A18" s="61" t="s">
        <v>7</v>
      </c>
      <c r="B18" s="12" t="s">
        <v>93</v>
      </c>
      <c r="C18" s="13" t="s">
        <v>92</v>
      </c>
      <c r="D18" s="18">
        <v>2</v>
      </c>
      <c r="E18" s="21">
        <v>1000</v>
      </c>
      <c r="F18" s="21">
        <f t="shared" si="1"/>
        <v>2000</v>
      </c>
      <c r="G18" s="8" t="s">
        <v>37</v>
      </c>
    </row>
    <row r="19" spans="1:7" ht="19.399999999999999" customHeight="1" x14ac:dyDescent="0.3">
      <c r="A19" s="61"/>
      <c r="B19" s="12" t="s">
        <v>69</v>
      </c>
      <c r="C19" s="13" t="s">
        <v>70</v>
      </c>
      <c r="D19" s="18">
        <v>2</v>
      </c>
      <c r="E19" s="21">
        <v>720</v>
      </c>
      <c r="F19" s="21">
        <f t="shared" si="1"/>
        <v>1440</v>
      </c>
      <c r="G19" s="8" t="s">
        <v>38</v>
      </c>
    </row>
    <row r="20" spans="1:7" ht="15.55" customHeight="1" x14ac:dyDescent="0.3">
      <c r="A20" s="61"/>
      <c r="B20" s="12" t="s">
        <v>8</v>
      </c>
      <c r="C20" s="13" t="s">
        <v>26</v>
      </c>
      <c r="D20" s="18">
        <v>13</v>
      </c>
      <c r="E20" s="21">
        <v>800</v>
      </c>
      <c r="F20" s="21">
        <f>E20*D20</f>
        <v>10400</v>
      </c>
      <c r="G20" s="9" t="s">
        <v>27</v>
      </c>
    </row>
    <row r="21" spans="1:7" ht="15.55" x14ac:dyDescent="0.3">
      <c r="A21" s="61"/>
      <c r="B21" s="12" t="s">
        <v>9</v>
      </c>
      <c r="C21" s="13" t="s">
        <v>28</v>
      </c>
      <c r="D21" s="22">
        <v>20</v>
      </c>
      <c r="E21" s="22">
        <v>550</v>
      </c>
      <c r="F21" s="21">
        <f>D21*E21</f>
        <v>11000</v>
      </c>
      <c r="G21" s="9" t="s">
        <v>90</v>
      </c>
    </row>
    <row r="22" spans="1:7" ht="15.55" x14ac:dyDescent="0.3">
      <c r="A22" s="61"/>
      <c r="B22" s="12" t="s">
        <v>13</v>
      </c>
      <c r="C22" s="13" t="s">
        <v>29</v>
      </c>
      <c r="D22" s="22">
        <v>6</v>
      </c>
      <c r="E22" s="21">
        <v>950</v>
      </c>
      <c r="F22" s="21">
        <f t="shared" ref="F22:F24" si="2">E22*D22</f>
        <v>5700</v>
      </c>
      <c r="G22" s="9" t="s">
        <v>32</v>
      </c>
    </row>
    <row r="23" spans="1:7" ht="15.55" x14ac:dyDescent="0.3">
      <c r="A23" s="61"/>
      <c r="B23" s="12" t="s">
        <v>14</v>
      </c>
      <c r="C23" s="13" t="s">
        <v>30</v>
      </c>
      <c r="D23" s="22">
        <v>8</v>
      </c>
      <c r="E23" s="21">
        <v>400</v>
      </c>
      <c r="F23" s="21">
        <f t="shared" si="2"/>
        <v>3200</v>
      </c>
      <c r="G23" s="9" t="s">
        <v>17</v>
      </c>
    </row>
    <row r="24" spans="1:7" ht="16.100000000000001" thickBot="1" x14ac:dyDescent="0.35">
      <c r="A24" s="62"/>
      <c r="B24" s="48" t="s">
        <v>15</v>
      </c>
      <c r="C24" s="45" t="s">
        <v>31</v>
      </c>
      <c r="D24" s="46">
        <v>3</v>
      </c>
      <c r="E24" s="25">
        <v>300</v>
      </c>
      <c r="F24" s="25">
        <f t="shared" si="2"/>
        <v>900</v>
      </c>
      <c r="G24" s="47" t="s">
        <v>16</v>
      </c>
    </row>
    <row r="25" spans="1:7" ht="21.6" customHeight="1" x14ac:dyDescent="0.4">
      <c r="A25" s="63" t="s">
        <v>81</v>
      </c>
      <c r="B25" s="31" t="s">
        <v>82</v>
      </c>
      <c r="C25" s="32" t="s">
        <v>83</v>
      </c>
      <c r="D25" s="34">
        <v>1</v>
      </c>
      <c r="E25" s="20">
        <v>1700</v>
      </c>
      <c r="F25" s="35">
        <f>E25*D25</f>
        <v>1700</v>
      </c>
      <c r="G25" s="33" t="s">
        <v>88</v>
      </c>
    </row>
    <row r="26" spans="1:7" ht="21.6" customHeight="1" x14ac:dyDescent="0.4">
      <c r="A26" s="64"/>
      <c r="B26" s="31" t="s">
        <v>99</v>
      </c>
      <c r="C26" s="32" t="s">
        <v>98</v>
      </c>
      <c r="D26" s="36">
        <v>1</v>
      </c>
      <c r="E26" s="20">
        <v>750</v>
      </c>
      <c r="F26" s="37">
        <f>E26*D26</f>
        <v>750</v>
      </c>
      <c r="G26" s="33" t="s">
        <v>97</v>
      </c>
    </row>
    <row r="27" spans="1:7" ht="18.3" x14ac:dyDescent="0.4">
      <c r="A27" s="64"/>
      <c r="B27" s="26" t="s">
        <v>84</v>
      </c>
      <c r="C27" s="28" t="s">
        <v>85</v>
      </c>
      <c r="D27" s="36">
        <v>1</v>
      </c>
      <c r="E27" s="21">
        <v>1700</v>
      </c>
      <c r="F27" s="37">
        <v>1700</v>
      </c>
      <c r="G27" s="49" t="s">
        <v>89</v>
      </c>
    </row>
    <row r="28" spans="1:7" ht="18.850000000000001" thickBot="1" x14ac:dyDescent="0.45">
      <c r="A28" s="65"/>
      <c r="B28" s="27" t="s">
        <v>84</v>
      </c>
      <c r="C28" s="29" t="s">
        <v>86</v>
      </c>
      <c r="D28" s="38">
        <v>1</v>
      </c>
      <c r="E28" s="24">
        <v>600</v>
      </c>
      <c r="F28" s="39">
        <v>600</v>
      </c>
      <c r="G28" s="30" t="s">
        <v>87</v>
      </c>
    </row>
    <row r="29" spans="1:7" ht="24.4" thickBot="1" x14ac:dyDescent="0.55000000000000004">
      <c r="F29" s="50">
        <f t="shared" ref="F29" si="3">SUM(F5:F27)</f>
        <v>113120</v>
      </c>
    </row>
    <row r="30" spans="1:7" ht="23.85" x14ac:dyDescent="0.5">
      <c r="F30" s="51"/>
    </row>
    <row r="33" spans="2:7" x14ac:dyDescent="0.3">
      <c r="B33" t="s">
        <v>94</v>
      </c>
    </row>
    <row r="34" spans="2:7" x14ac:dyDescent="0.3">
      <c r="B34" t="s">
        <v>42</v>
      </c>
      <c r="C34" s="6" t="s">
        <v>43</v>
      </c>
      <c r="D34" s="6"/>
      <c r="E34" s="6" t="s">
        <v>95</v>
      </c>
    </row>
    <row r="35" spans="2:7" x14ac:dyDescent="0.3">
      <c r="B35" t="s">
        <v>51</v>
      </c>
      <c r="C35" s="6" t="s">
        <v>41</v>
      </c>
      <c r="D35" s="6"/>
      <c r="G35" s="10"/>
    </row>
    <row r="36" spans="2:7" x14ac:dyDescent="0.3">
      <c r="B36" t="s">
        <v>44</v>
      </c>
      <c r="C36" s="6" t="s">
        <v>46</v>
      </c>
      <c r="D36" s="6"/>
    </row>
    <row r="37" spans="2:7" x14ac:dyDescent="0.3">
      <c r="B37" t="s">
        <v>47</v>
      </c>
      <c r="C37" s="6" t="s">
        <v>45</v>
      </c>
      <c r="D37" s="6"/>
      <c r="G37" s="10"/>
    </row>
    <row r="38" spans="2:7" x14ac:dyDescent="0.3">
      <c r="B38" t="s">
        <v>49</v>
      </c>
      <c r="C38" s="6" t="s">
        <v>48</v>
      </c>
      <c r="D38" s="6"/>
      <c r="G38" s="11"/>
    </row>
    <row r="39" spans="2:7" x14ac:dyDescent="0.3">
      <c r="B39" t="s">
        <v>50</v>
      </c>
      <c r="C39" s="6" t="s">
        <v>52</v>
      </c>
      <c r="D39" s="6"/>
      <c r="G39" s="10"/>
    </row>
    <row r="40" spans="2:7" x14ac:dyDescent="0.3">
      <c r="B40" t="s">
        <v>53</v>
      </c>
      <c r="C40" s="6" t="s">
        <v>54</v>
      </c>
      <c r="D40" s="6"/>
    </row>
    <row r="41" spans="2:7" x14ac:dyDescent="0.3">
      <c r="C41" s="6" t="s">
        <v>55</v>
      </c>
    </row>
  </sheetData>
  <mergeCells count="5">
    <mergeCell ref="A1:G1"/>
    <mergeCell ref="A3:A9"/>
    <mergeCell ref="A10:A17"/>
    <mergeCell ref="A18:A24"/>
    <mergeCell ref="A25:A28"/>
  </mergeCells>
  <phoneticPr fontId="7" type="noConversion"/>
  <hyperlinks>
    <hyperlink ref="G5" r:id="rId1" xr:uid="{517D8BE6-667B-492C-BE7D-04A8378A9012}"/>
    <hyperlink ref="G7" r:id="rId2" xr:uid="{E343A6FE-C3F1-4E79-9ACF-7F441A86C5CE}"/>
    <hyperlink ref="G6" r:id="rId3" xr:uid="{3DF535E2-0ACF-4C46-A7B6-E6B8EA3B27F1}"/>
    <hyperlink ref="G20" r:id="rId4" xr:uid="{85D6EA11-1476-4F0C-9DBB-7921B700F8A4}"/>
    <hyperlink ref="G21" r:id="rId5" xr:uid="{DD4F1720-0C5D-40E6-A195-145D7E2C2CED}"/>
    <hyperlink ref="G22" r:id="rId6" xr:uid="{D726405E-6766-4E21-BA6B-554818838E4B}"/>
    <hyperlink ref="G24" r:id="rId7" xr:uid="{2C7B1724-3A4D-4328-984B-D2D9100262E6}"/>
    <hyperlink ref="G23" r:id="rId8" xr:uid="{D9E6585D-31C4-4EA2-8468-AF8D1502D271}"/>
    <hyperlink ref="G3" r:id="rId9" xr:uid="{A6F82648-E630-4840-9149-00F9F365D91D}"/>
    <hyperlink ref="G8" r:id="rId10" xr:uid="{B54E5DB3-83E5-4CCB-BFD6-150115C9D793}"/>
    <hyperlink ref="G10" r:id="rId11" xr:uid="{3B566595-1B01-4405-BF0E-FFC01F7C5D01}"/>
    <hyperlink ref="G11" r:id="rId12" xr:uid="{C10B2235-ED87-4B14-93B9-5190A2E27ED4}"/>
    <hyperlink ref="G4" r:id="rId13" xr:uid="{765D24B9-0A38-4AB5-BA98-2AEB3371F211}"/>
    <hyperlink ref="G9" r:id="rId14" xr:uid="{42457B15-D2AF-48AF-ADA4-907065C6738E}"/>
    <hyperlink ref="G12" r:id="rId15" xr:uid="{95FA6BB3-2792-4493-95E2-F2F5BB6ECEB4}"/>
    <hyperlink ref="G18" r:id="rId16" xr:uid="{FB9ED6C0-6CDA-45A6-8E1E-E24A076B25A4}"/>
    <hyperlink ref="G14" r:id="rId17" xr:uid="{3C410154-8718-4F5D-B9A3-BBB7035F95CB}"/>
    <hyperlink ref="G17" r:id="rId18" xr:uid="{B1349DFD-0559-409A-8C8B-699BD09CA3EE}"/>
    <hyperlink ref="G19" r:id="rId19" display="https://www.woodie.cz/kvh-hranol-40-140-mm-nsi?utm_source=google&amp;utm_medium=cpc&amp;utm_campaign=_MAX_hranoly_2025&amp;utm_id=22123360707&amp;gad_source=1&amp;gad_campaignid=22123361274&amp;gclid=Cj0KCQiA7-rMBhCFARIsAKnLKtDSLDg2KcFSp95S4zpgpp2vJG1pY18AMDmr7xUlG9L_mLuj_1w8_G0aAv1zEALw_wcB" xr:uid="{4E6B2AFC-3B90-4390-BC3F-AC3706922FAC}"/>
    <hyperlink ref="G16" r:id="rId20" xr:uid="{2EF42F51-BBE5-4733-9DCD-77A8D47CFE2B}"/>
    <hyperlink ref="G15" r:id="rId21" xr:uid="{B2F2A9A2-D064-40F2-A1C4-FD9A11590DF8}"/>
    <hyperlink ref="G28" r:id="rId22" xr:uid="{028E3728-781E-44CC-A967-A997B68D7A21}"/>
    <hyperlink ref="G25" r:id="rId23" xr:uid="{EB5E08E5-FE8E-4625-8370-EEB961E4D94B}"/>
    <hyperlink ref="G27" r:id="rId24" xr:uid="{3DA88056-B2DD-435A-A824-D6E7F9901340}"/>
    <hyperlink ref="G26" r:id="rId25" xr:uid="{1AF7FD50-FE07-4DA0-97C3-17605ACB948C}"/>
  </hyperlinks>
  <pageMargins left="0.7" right="0.7" top="0.78740157499999996" bottom="0.78740157499999996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Štěpán Peteráč</dc:creator>
  <cp:lastModifiedBy>Štěpán Peteráč</cp:lastModifiedBy>
  <dcterms:created xsi:type="dcterms:W3CDTF">2025-11-19T11:06:10Z</dcterms:created>
  <dcterms:modified xsi:type="dcterms:W3CDTF">2026-03-13T17:17:27Z</dcterms:modified>
</cp:coreProperties>
</file>